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359a401ca4a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與毛利" sheetId="1" r:id="Rfad1145fa84947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$0.00"/>
    <x:numFmt numFmtId="202" formatCode="#,##0.00"/>
    <x:numFmt numFmtId="203" formatCode="0.0%"/>
  </x:numFmts>
  <x:fonts count="6">
    <x:font>
      <x:sz val="11"/>
      <x:name val="Carlito"/>
    </x:font>
    <x:font>
      <x:b/>
      <x:sz val="16"/>
      <x:color rgb="FF17324D"/>
      <x:name val="Noto Sans TC"/>
    </x:font>
    <x:font>
      <x:i/>
      <x:sz val="10"/>
      <x:color rgb="FF666666"/>
      <x:name val="Noto Sans TC"/>
    </x:font>
    <x:font>
      <x:b/>
      <x:sz val="10"/>
      <x:color rgb="FF17324D"/>
      <x:name val="Noto Sans TC"/>
    </x:font>
    <x:font>
      <x:sz val="10"/>
      <x:name val="Noto Sans TC"/>
    </x:font>
    <x:font>
      <x:b/>
      <x:sz val="10"/>
      <x:color rgb="FFFFFFFF"/>
      <x:name val="Noto Sans TC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13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FFFFFF"/>
      </x:righ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FFFFFF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FFFFFF"/>
      </x:right>
      <x:top style="thin">
        <x:color rgb="FFD9E2F3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201" fontId="4" fillId="3" borderId="0" xfId="0" applyNumberFormat="1" applyFont="1" applyFill="1" applyBorder="1"/>
    <x:xf numFmtId="202" fontId="4" fillId="3" borderId="0" xfId="0" applyNumberFormat="1" applyFont="1" applyFill="1" applyBorder="1"/>
    <x:xf numFmtId="202" fontId="4" fillId="0" borderId="0" xfId="0" applyNumberFormat="1" applyFont="1" applyFill="1" applyBorder="1"/>
    <x:xf numFmtId="203" fontId="4" fillId="3" borderId="0" xfId="0" applyNumberFormat="1" applyFont="1" applyFill="1" applyBorder="1"/>
    <x:xf numFmtId="203" fontId="4" fillId="0" borderId="0" xfId="0" applyNumberFormat="1" applyFont="1" applyFill="1" applyBorder="1"/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201" fontId="4" fillId="3" borderId="8" xfId="0" applyNumberFormat="1" applyFont="1" applyFill="1" applyBorder="1"/>
    <x:xf numFmtId="202" fontId="4" fillId="3" borderId="8" xfId="0" applyNumberFormat="1" applyFont="1" applyFill="1" applyBorder="1"/>
    <x:xf numFmtId="203" fontId="4" fillId="3" borderId="8" xfId="0" applyNumberFormat="1" applyFont="1" applyFill="1" applyBorder="1"/>
    <x:xf numFmtId="202" fontId="4" fillId="0" borderId="8" xfId="0" applyNumberFormat="1" applyFont="1" applyFill="1" applyBorder="1"/>
    <x:xf numFmtId="203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201" fontId="4" fillId="3" borderId="11" xfId="0" applyNumberFormat="1" applyFont="1" applyFill="1" applyBorder="1"/>
    <x:xf numFmtId="202" fontId="4" fillId="3" borderId="11" xfId="0" applyNumberFormat="1" applyFont="1" applyFill="1" applyBorder="1"/>
    <x:xf numFmtId="203" fontId="4" fillId="3" borderId="11" xfId="0" applyNumberFormat="1" applyFont="1" applyFill="1" applyBorder="1"/>
    <x:xf numFmtId="202" fontId="4" fillId="0" borderId="11" xfId="0" applyNumberFormat="1" applyFont="1" applyFill="1" applyBorder="1"/>
    <x:xf numFmtId="203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1" fontId="4" fillId="3" borderId="8" xfId="0" applyNumberFormat="1" applyFont="1" applyFill="1" applyBorder="1" applyAlignment="1">
      <x:alignment vertical="center"/>
    </x:xf>
    <x:xf numFmtId="202" fontId="4" fillId="3" borderId="8" xfId="0" applyNumberFormat="1" applyFont="1" applyFill="1" applyBorder="1" applyAlignment="1">
      <x:alignment vertical="center"/>
    </x:xf>
    <x:xf numFmtId="203" fontId="4" fillId="3" borderId="8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203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201" fontId="4" fillId="3" borderId="11" xfId="0" applyNumberFormat="1" applyFont="1" applyFill="1" applyBorder="1" applyAlignment="1">
      <x:alignment vertical="center"/>
    </x:xf>
    <x:xf numFmtId="202" fontId="4" fillId="3" borderId="11" xfId="0" applyNumberFormat="1" applyFont="1" applyFill="1" applyBorder="1" applyAlignment="1">
      <x:alignment vertical="center"/>
    </x:xf>
    <x:xf numFmtId="203" fontId="4" fillId="3" borderId="11" xfId="0" applyNumberFormat="1" applyFont="1" applyFill="1" applyBorder="1" applyAlignment="1">
      <x:alignment vertical="center"/>
    </x:xf>
    <x:xf numFmtId="202" fontId="4" fillId="0" borderId="11" xfId="0" applyNumberFormat="1" applyFont="1" applyFill="1" applyBorder="1" applyAlignment="1">
      <x:alignment vertical="center"/>
    </x:xf>
    <x:xf numFmtId="203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bd8c7a4f3b41cb" /><Relationship Type="http://schemas.openxmlformats.org/officeDocument/2006/relationships/theme" Target="/xl/theme/theme1.xml" Id="R99fe51e3ccb94861" /><Relationship Type="http://schemas.openxmlformats.org/officeDocument/2006/relationships/sharedStrings" Target="/xl/sharedStrings.xml" Id="R500bd338f46b44af" /><Relationship Type="http://schemas.openxmlformats.org/officeDocument/2006/relationships/worksheet" Target="/xl/worksheets/sheet1.xml" Id="Rfad1145fa84947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1" hidden="0" customWidth="1"/>
    <x:col min="5" max="5" width="9" hidden="0" customWidth="1"/>
    <x:col min="6" max="6" width="9" hidden="0" customWidth="1"/>
    <x:col min="7" max="7" width="10" hidden="0" customWidth="1"/>
    <x:col min="8" max="8" width="11" hidden="0" customWidth="1"/>
    <x:col min="9" max="9" width="13" hidden="0" customWidth="1"/>
    <x:col min="10" max="10" width="15" hidden="0" customWidth="1"/>
    <x:col min="11" max="11" width="15" hidden="0" customWidth="1"/>
    <x:col min="12" max="12" width="15" hidden="0" customWidth="1"/>
    <x:col min="13" max="13" width="13" hidden="0" customWidth="1"/>
    <x:col min="14" max="14" width="11" hidden="0" customWidth="1"/>
    <x:col min="15" max="15" width="15" hidden="0" customWidth="1"/>
    <x:col min="16" max="16" width="15" hidden="0" customWidth="1"/>
    <x:col min="17" max="17" width="14" hidden="0" customWidth="1"/>
    <x:col min="18" max="18" width="11" hidden="0" customWidth="1"/>
    <x:col min="19" max="19" width="20" hidden="0" customWidth="1"/>
  </x:cols>
  <x:sheetData>
    <x:row r="2">
      <x:c r="A2" s="3" t="str">
        <x:v>WT FASTENERS 商品與毛利輸入表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</x:row>
    <x:row r="3">
      <x:c r="A3" s="2" t="str">
        <x:v>黃色欄位請填真實資料。缺少成本時不計算毛利，也不會把空白當成0元。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</x:row>
    <x:row r="5">
      <x:c r="A5" s="7" t="str">
        <x:v>共同設定</x:v>
      </x:c>
      <x:c r="B5" s="7" t="str">
        <x:v>輸入值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</x:row>
    <x:row r="6">
      <x:c r="A6" s="4" t="str">
        <x:v>美元兌新台幣匯率</x:v>
      </x:c>
      <x:c r="B6" s="9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</x:row>
    <x:row r="9" ht="31.5" customHeight="1">
      <x:c r="A9" s="29" t="str">
        <x:v>SKU</x:v>
      </x:c>
      <x:c r="B9" s="30" t="str">
        <x:v>材質</x:v>
      </x:c>
      <x:c r="C9" s="30" t="str">
        <x:v>尺寸</x:v>
      </x:c>
      <x:c r="D9" s="30" t="str">
        <x:v>包裝數量</x:v>
      </x:c>
      <x:c r="E9" s="30" t="str">
        <x:v>頭型</x:v>
      </x:c>
      <x:c r="F9" s="30" t="str">
        <x:v>驅動</x:v>
      </x:c>
      <x:c r="G9" s="30" t="str">
        <x:v>尾型</x:v>
      </x:c>
      <x:c r="H9" s="30" t="str">
        <x:v>平台</x:v>
      </x:c>
      <x:c r="I9" s="30" t="str">
        <x:v>售價（美元）</x:v>
      </x:c>
      <x:c r="J9" s="30" t="str">
        <x:v>螺絲成本（台幣）</x:v>
      </x:c>
      <x:c r="K9" s="30" t="str">
        <x:v>包材成本（台幣）</x:v>
      </x:c>
      <x:c r="L9" s="30" t="str">
        <x:v>人工成本（台幣）</x:v>
      </x:c>
      <x:c r="M9" s="30" t="str">
        <x:v>運費（台幣）</x:v>
      </x:c>
      <x:c r="N9" s="30" t="str">
        <x:v>平台費率</x:v>
      </x:c>
      <x:c r="O9" s="30" t="str">
        <x:v>其他成本（台幣）</x:v>
      </x:c>
      <x:c r="P9" s="30" t="str">
        <x:v>總成本（台幣）</x:v>
      </x:c>
      <x:c r="Q9" s="30" t="str">
        <x:v>毛利（台幣）</x:v>
      </x:c>
      <x:c r="R9" s="30" t="str">
        <x:v>毛利率</x:v>
      </x:c>
      <x:c r="S9" s="31" t="str">
        <x:v>狀態</x:v>
      </x:c>
    </x:row>
    <x:row r="10">
      <x:c r="A10" s="48" t="str">
        <x:v>WT-410-10-175-60</x:v>
      </x:c>
      <x:c r="B10" s="49" t="str">
        <x:v>410不鏽鋼</x:v>
      </x:c>
      <x:c r="C10" s="49" t="str">
        <x:v>#10×1-3/4</x:v>
      </x:c>
      <x:c r="D10" s="49" t="n">
        <x:v>60</x:v>
      </x:c>
      <x:c r="E10" s="49" t="str">
        <x:v>沉頭</x:v>
      </x:c>
      <x:c r="F10" s="49" t="str">
        <x:v>T25</x:v>
      </x:c>
      <x:c r="G10" s="49" t="str">
        <x:v>Type 17</x:v>
      </x:c>
      <x:c r="H10" s="49" t="str">
        <x:v>Amazon</x:v>
      </x:c>
      <x:c r="I10" s="50"/>
      <x:c r="J10" s="51"/>
      <x:c r="K10" s="51"/>
      <x:c r="L10" s="51"/>
      <x:c r="M10" s="51"/>
      <x:c r="N10" s="52"/>
      <x:c r="O10" s="51"/>
      <x:c r="P10" s="53" t="str">
        <x:f>IF(COUNT(I10:O10)&lt;7,"",SUM(J10:M10)+I10*$B$6*N10+O10)</x:f>
      </x:c>
      <x:c r="Q10" s="53" t="str">
        <x:f>IF(OR(I10="",$B$6="",P10=""),"",I10*$B$6-P10)</x:f>
      </x:c>
      <x:c r="R10" s="54" t="str">
        <x:f>IF(OR(Q10="",I10*$B$6=0),"",Q10/(I10*$B$6))</x:f>
      </x:c>
      <x:c r="S10" s="55" t="str">
        <x:f>IF(COUNT(I10:O10)&lt;7,"待輸入成本與售價","可計算")</x:f>
        <x:v>待輸入成本與售價</x:v>
      </x:c>
    </x:row>
    <x:row r="11">
      <x:c r="A11" s="48" t="str">
        <x:v>WT-410-10-175-60</x:v>
      </x:c>
      <x:c r="B11" s="49" t="str">
        <x:v>410不鏽鋼</x:v>
      </x:c>
      <x:c r="C11" s="49" t="str">
        <x:v>#10×1-3/4</x:v>
      </x:c>
      <x:c r="D11" s="49" t="n">
        <x:v>60</x:v>
      </x:c>
      <x:c r="E11" s="49" t="str">
        <x:v>沉頭</x:v>
      </x:c>
      <x:c r="F11" s="49" t="str">
        <x:v>T25</x:v>
      </x:c>
      <x:c r="G11" s="49" t="str">
        <x:v>Type 17</x:v>
      </x:c>
      <x:c r="H11" s="49" t="str">
        <x:v>eBay</x:v>
      </x:c>
      <x:c r="I11" s="50"/>
      <x:c r="J11" s="51"/>
      <x:c r="K11" s="51"/>
      <x:c r="L11" s="51"/>
      <x:c r="M11" s="51"/>
      <x:c r="N11" s="52"/>
      <x:c r="O11" s="51"/>
      <x:c r="P11" s="53" t="str">
        <x:f>IF(COUNT(I11:O11)&lt;7,"",SUM(J11:M11)+I11*$B$6*N11+O11)</x:f>
      </x:c>
      <x:c r="Q11" s="53" t="str">
        <x:f>IF(OR(I11="",$B$6="",P11=""),"",I11*$B$6-P11)</x:f>
      </x:c>
      <x:c r="R11" s="54" t="str">
        <x:f>IF(OR(Q11="",I11*$B$6=0),"",Q11/(I11*$B$6))</x:f>
      </x:c>
      <x:c r="S11" s="55" t="str">
        <x:f>IF(COUNT(I11:O11)&lt;7,"待輸入成本與售價","可計算")</x:f>
        <x:v>待輸入成本與售價</x:v>
      </x:c>
    </x:row>
    <x:row r="12">
      <x:c r="A12" s="48" t="str">
        <x:v>WT-410-10-175-110</x:v>
      </x:c>
      <x:c r="B12" s="49" t="str">
        <x:v>410不鏽鋼</x:v>
      </x:c>
      <x:c r="C12" s="49" t="str">
        <x:v>#10×1-3/4</x:v>
      </x:c>
      <x:c r="D12" s="49" t="n">
        <x:v>110</x:v>
      </x:c>
      <x:c r="E12" s="49" t="str">
        <x:v>沉頭</x:v>
      </x:c>
      <x:c r="F12" s="49" t="str">
        <x:v>T25</x:v>
      </x:c>
      <x:c r="G12" s="49" t="str">
        <x:v>Type 17</x:v>
      </x:c>
      <x:c r="H12" s="49" t="str">
        <x:v>Amazon</x:v>
      </x:c>
      <x:c r="I12" s="50"/>
      <x:c r="J12" s="51"/>
      <x:c r="K12" s="51"/>
      <x:c r="L12" s="51"/>
      <x:c r="M12" s="51"/>
      <x:c r="N12" s="52"/>
      <x:c r="O12" s="51"/>
      <x:c r="P12" s="53" t="str">
        <x:f>IF(COUNT(I12:O12)&lt;7,"",SUM(J12:M12)+I12*$B$6*N12+O12)</x:f>
      </x:c>
      <x:c r="Q12" s="53" t="str">
        <x:f>IF(OR(I12="",$B$6="",P12=""),"",I12*$B$6-P12)</x:f>
      </x:c>
      <x:c r="R12" s="54" t="str">
        <x:f>IF(OR(Q12="",I12*$B$6=0),"",Q12/(I12*$B$6))</x:f>
      </x:c>
      <x:c r="S12" s="55" t="str">
        <x:f>IF(COUNT(I12:O12)&lt;7,"待輸入成本與售價","可計算")</x:f>
        <x:v>待輸入成本與售價</x:v>
      </x:c>
    </x:row>
    <x:row r="13">
      <x:c r="A13" s="48" t="str">
        <x:v>WT-410-10-175-110</x:v>
      </x:c>
      <x:c r="B13" s="49" t="str">
        <x:v>410不鏽鋼</x:v>
      </x:c>
      <x:c r="C13" s="49" t="str">
        <x:v>#10×1-3/4</x:v>
      </x:c>
      <x:c r="D13" s="49" t="n">
        <x:v>110</x:v>
      </x:c>
      <x:c r="E13" s="49" t="str">
        <x:v>沉頭</x:v>
      </x:c>
      <x:c r="F13" s="49" t="str">
        <x:v>T25</x:v>
      </x:c>
      <x:c r="G13" s="49" t="str">
        <x:v>Type 17</x:v>
      </x:c>
      <x:c r="H13" s="49" t="str">
        <x:v>eBay</x:v>
      </x:c>
      <x:c r="I13" s="50"/>
      <x:c r="J13" s="51"/>
      <x:c r="K13" s="51"/>
      <x:c r="L13" s="51"/>
      <x:c r="M13" s="51"/>
      <x:c r="N13" s="52"/>
      <x:c r="O13" s="51"/>
      <x:c r="P13" s="53" t="str">
        <x:f>IF(COUNT(I13:O13)&lt;7,"",SUM(J13:M13)+I13*$B$6*N13+O13)</x:f>
      </x:c>
      <x:c r="Q13" s="53" t="str">
        <x:f>IF(OR(I13="",$B$6="",P13=""),"",I13*$B$6-P13)</x:f>
      </x:c>
      <x:c r="R13" s="54" t="str">
        <x:f>IF(OR(Q13="",I13*$B$6=0),"",Q13/(I13*$B$6))</x:f>
      </x:c>
      <x:c r="S13" s="55" t="str">
        <x:f>IF(COUNT(I13:O13)&lt;7,"待輸入成本與售價","可計算")</x:f>
        <x:v>待輸入成本與售價</x:v>
      </x:c>
    </x:row>
    <x:row r="14">
      <x:c r="A14" s="48" t="str">
        <x:v>WT-410-10-200-40</x:v>
      </x:c>
      <x:c r="B14" s="49" t="str">
        <x:v>410不鏽鋼</x:v>
      </x:c>
      <x:c r="C14" s="49" t="str">
        <x:v>#10×2</x:v>
      </x:c>
      <x:c r="D14" s="49" t="n">
        <x:v>40</x:v>
      </x:c>
      <x:c r="E14" s="49" t="str">
        <x:v>沉頭</x:v>
      </x:c>
      <x:c r="F14" s="49" t="str">
        <x:v>T25</x:v>
      </x:c>
      <x:c r="G14" s="49" t="str">
        <x:v>Type 17</x:v>
      </x:c>
      <x:c r="H14" s="49" t="str">
        <x:v>Amazon</x:v>
      </x:c>
      <x:c r="I14" s="50"/>
      <x:c r="J14" s="51"/>
      <x:c r="K14" s="51"/>
      <x:c r="L14" s="51"/>
      <x:c r="M14" s="51"/>
      <x:c r="N14" s="52"/>
      <x:c r="O14" s="51"/>
      <x:c r="P14" s="53" t="str">
        <x:f>IF(COUNT(I14:O14)&lt;7,"",SUM(J14:M14)+I14*$B$6*N14+O14)</x:f>
      </x:c>
      <x:c r="Q14" s="53" t="str">
        <x:f>IF(OR(I14="",$B$6="",P14=""),"",I14*$B$6-P14)</x:f>
      </x:c>
      <x:c r="R14" s="54" t="str">
        <x:f>IF(OR(Q14="",I14*$B$6=0),"",Q14/(I14*$B$6))</x:f>
      </x:c>
      <x:c r="S14" s="55" t="str">
        <x:f>IF(COUNT(I14:O14)&lt;7,"待輸入成本與售價","可計算")</x:f>
        <x:v>待輸入成本與售價</x:v>
      </x:c>
    </x:row>
    <x:row r="15">
      <x:c r="A15" s="48" t="str">
        <x:v>WT-410-10-200-40</x:v>
      </x:c>
      <x:c r="B15" s="49" t="str">
        <x:v>410不鏽鋼</x:v>
      </x:c>
      <x:c r="C15" s="49" t="str">
        <x:v>#10×2</x:v>
      </x:c>
      <x:c r="D15" s="49" t="n">
        <x:v>40</x:v>
      </x:c>
      <x:c r="E15" s="49" t="str">
        <x:v>沉頭</x:v>
      </x:c>
      <x:c r="F15" s="49" t="str">
        <x:v>T25</x:v>
      </x:c>
      <x:c r="G15" s="49" t="str">
        <x:v>Type 17</x:v>
      </x:c>
      <x:c r="H15" s="49" t="str">
        <x:v>eBay</x:v>
      </x:c>
      <x:c r="I15" s="50"/>
      <x:c r="J15" s="51"/>
      <x:c r="K15" s="51"/>
      <x:c r="L15" s="51"/>
      <x:c r="M15" s="51"/>
      <x:c r="N15" s="52"/>
      <x:c r="O15" s="51"/>
      <x:c r="P15" s="53" t="str">
        <x:f>IF(COUNT(I15:O15)&lt;7,"",SUM(J15:M15)+I15*$B$6*N15+O15)</x:f>
      </x:c>
      <x:c r="Q15" s="53" t="str">
        <x:f>IF(OR(I15="",$B$6="",P15=""),"",I15*$B$6-P15)</x:f>
      </x:c>
      <x:c r="R15" s="54" t="str">
        <x:f>IF(OR(Q15="",I15*$B$6=0),"",Q15/(I15*$B$6))</x:f>
      </x:c>
      <x:c r="S15" s="55" t="str">
        <x:f>IF(COUNT(I15:O15)&lt;7,"待輸入成本與售價","可計算")</x:f>
        <x:v>待輸入成本與售價</x:v>
      </x:c>
    </x:row>
    <x:row r="16">
      <x:c r="A16" s="48" t="str">
        <x:v>WT-410-10-200-110</x:v>
      </x:c>
      <x:c r="B16" s="49" t="str">
        <x:v>410不鏽鋼</x:v>
      </x:c>
      <x:c r="C16" s="49" t="str">
        <x:v>#10×2</x:v>
      </x:c>
      <x:c r="D16" s="49" t="n">
        <x:v>110</x:v>
      </x:c>
      <x:c r="E16" s="49" t="str">
        <x:v>沉頭</x:v>
      </x:c>
      <x:c r="F16" s="49" t="str">
        <x:v>T25</x:v>
      </x:c>
      <x:c r="G16" s="49" t="str">
        <x:v>Type 17</x:v>
      </x:c>
      <x:c r="H16" s="49" t="str">
        <x:v>Amazon</x:v>
      </x:c>
      <x:c r="I16" s="50"/>
      <x:c r="J16" s="51"/>
      <x:c r="K16" s="51"/>
      <x:c r="L16" s="51"/>
      <x:c r="M16" s="51"/>
      <x:c r="N16" s="52"/>
      <x:c r="O16" s="51"/>
      <x:c r="P16" s="53" t="str">
        <x:f>IF(COUNT(I16:O16)&lt;7,"",SUM(J16:M16)+I16*$B$6*N16+O16)</x:f>
      </x:c>
      <x:c r="Q16" s="53" t="str">
        <x:f>IF(OR(I16="",$B$6="",P16=""),"",I16*$B$6-P16)</x:f>
      </x:c>
      <x:c r="R16" s="54" t="str">
        <x:f>IF(OR(Q16="",I16*$B$6=0),"",Q16/(I16*$B$6))</x:f>
      </x:c>
      <x:c r="S16" s="55" t="str">
        <x:f>IF(COUNT(I16:O16)&lt;7,"待輸入成本與售價","可計算")</x:f>
        <x:v>待輸入成本與售價</x:v>
      </x:c>
    </x:row>
    <x:row r="17">
      <x:c r="A17" s="48" t="str">
        <x:v>WT-410-10-200-110</x:v>
      </x:c>
      <x:c r="B17" s="49" t="str">
        <x:v>410不鏽鋼</x:v>
      </x:c>
      <x:c r="C17" s="49" t="str">
        <x:v>#10×2</x:v>
      </x:c>
      <x:c r="D17" s="49" t="n">
        <x:v>110</x:v>
      </x:c>
      <x:c r="E17" s="49" t="str">
        <x:v>沉頭</x:v>
      </x:c>
      <x:c r="F17" s="49" t="str">
        <x:v>T25</x:v>
      </x:c>
      <x:c r="G17" s="49" t="str">
        <x:v>Type 17</x:v>
      </x:c>
      <x:c r="H17" s="49" t="str">
        <x:v>eBay</x:v>
      </x:c>
      <x:c r="I17" s="50"/>
      <x:c r="J17" s="51"/>
      <x:c r="K17" s="51"/>
      <x:c r="L17" s="51"/>
      <x:c r="M17" s="51"/>
      <x:c r="N17" s="52"/>
      <x:c r="O17" s="51"/>
      <x:c r="P17" s="53" t="str">
        <x:f>IF(COUNT(I17:O17)&lt;7,"",SUM(J17:M17)+I17*$B$6*N17+O17)</x:f>
      </x:c>
      <x:c r="Q17" s="53" t="str">
        <x:f>IF(OR(I17="",$B$6="",P17=""),"",I17*$B$6-P17)</x:f>
      </x:c>
      <x:c r="R17" s="54" t="str">
        <x:f>IF(OR(Q17="",I17*$B$6=0),"",Q17/(I17*$B$6))</x:f>
      </x:c>
      <x:c r="S17" s="55" t="str">
        <x:f>IF(COUNT(I17:O17)&lt;7,"待輸入成本與售價","可計算")</x:f>
        <x:v>待輸入成本與售價</x:v>
      </x:c>
    </x:row>
    <x:row r="18">
      <x:c r="A18" s="48" t="str">
        <x:v>WT-410-10-250-50</x:v>
      </x:c>
      <x:c r="B18" s="49" t="str">
        <x:v>410不鏽鋼</x:v>
      </x:c>
      <x:c r="C18" s="49" t="str">
        <x:v>#10×2-1/2</x:v>
      </x:c>
      <x:c r="D18" s="49" t="n">
        <x:v>50</x:v>
      </x:c>
      <x:c r="E18" s="49" t="str">
        <x:v>沉頭</x:v>
      </x:c>
      <x:c r="F18" s="49" t="str">
        <x:v>T25</x:v>
      </x:c>
      <x:c r="G18" s="49" t="str">
        <x:v>Type 17</x:v>
      </x:c>
      <x:c r="H18" s="49" t="str">
        <x:v>Amazon</x:v>
      </x:c>
      <x:c r="I18" s="50"/>
      <x:c r="J18" s="51"/>
      <x:c r="K18" s="51"/>
      <x:c r="L18" s="51"/>
      <x:c r="M18" s="51"/>
      <x:c r="N18" s="52"/>
      <x:c r="O18" s="51"/>
      <x:c r="P18" s="53" t="str">
        <x:f>IF(COUNT(I18:O18)&lt;7,"",SUM(J18:M18)+I18*$B$6*N18+O18)</x:f>
      </x:c>
      <x:c r="Q18" s="53" t="str">
        <x:f>IF(OR(I18="",$B$6="",P18=""),"",I18*$B$6-P18)</x:f>
      </x:c>
      <x:c r="R18" s="54" t="str">
        <x:f>IF(OR(Q18="",I18*$B$6=0),"",Q18/(I18*$B$6))</x:f>
      </x:c>
      <x:c r="S18" s="55" t="str">
        <x:f>IF(COUNT(I18:O18)&lt;7,"待輸入成本與售價","可計算")</x:f>
        <x:v>待輸入成本與售價</x:v>
      </x:c>
    </x:row>
    <x:row r="19">
      <x:c r="A19" s="48" t="str">
        <x:v>WT-410-10-250-50</x:v>
      </x:c>
      <x:c r="B19" s="49" t="str">
        <x:v>410不鏽鋼</x:v>
      </x:c>
      <x:c r="C19" s="49" t="str">
        <x:v>#10×2-1/2</x:v>
      </x:c>
      <x:c r="D19" s="49" t="n">
        <x:v>50</x:v>
      </x:c>
      <x:c r="E19" s="49" t="str">
        <x:v>沉頭</x:v>
      </x:c>
      <x:c r="F19" s="49" t="str">
        <x:v>T25</x:v>
      </x:c>
      <x:c r="G19" s="49" t="str">
        <x:v>Type 17</x:v>
      </x:c>
      <x:c r="H19" s="49" t="str">
        <x:v>eBay</x:v>
      </x:c>
      <x:c r="I19" s="50"/>
      <x:c r="J19" s="51"/>
      <x:c r="K19" s="51"/>
      <x:c r="L19" s="51"/>
      <x:c r="M19" s="51"/>
      <x:c r="N19" s="52"/>
      <x:c r="O19" s="51"/>
      <x:c r="P19" s="53" t="str">
        <x:f>IF(COUNT(I19:O19)&lt;7,"",SUM(J19:M19)+I19*$B$6*N19+O19)</x:f>
      </x:c>
      <x:c r="Q19" s="53" t="str">
        <x:f>IF(OR(I19="",$B$6="",P19=""),"",I19*$B$6-P19)</x:f>
      </x:c>
      <x:c r="R19" s="54" t="str">
        <x:f>IF(OR(Q19="",I19*$B$6=0),"",Q19/(I19*$B$6))</x:f>
      </x:c>
      <x:c r="S19" s="55" t="str">
        <x:f>IF(COUNT(I19:O19)&lt;7,"待輸入成本與售價","可計算")</x:f>
        <x:v>待輸入成本與售價</x:v>
      </x:c>
    </x:row>
    <x:row r="20">
      <x:c r="A20" s="48" t="str">
        <x:v>WT-410-10-250-60</x:v>
      </x:c>
      <x:c r="B20" s="49" t="str">
        <x:v>410不鏽鋼</x:v>
      </x:c>
      <x:c r="C20" s="49" t="str">
        <x:v>#10×2-1/2</x:v>
      </x:c>
      <x:c r="D20" s="49" t="n">
        <x:v>60</x:v>
      </x:c>
      <x:c r="E20" s="49" t="str">
        <x:v>沉頭</x:v>
      </x:c>
      <x:c r="F20" s="49" t="str">
        <x:v>T25</x:v>
      </x:c>
      <x:c r="G20" s="49" t="str">
        <x:v>Type 17</x:v>
      </x:c>
      <x:c r="H20" s="49" t="str">
        <x:v>Amazon</x:v>
      </x:c>
      <x:c r="I20" s="50"/>
      <x:c r="J20" s="51"/>
      <x:c r="K20" s="51"/>
      <x:c r="L20" s="51"/>
      <x:c r="M20" s="51"/>
      <x:c r="N20" s="52"/>
      <x:c r="O20" s="51"/>
      <x:c r="P20" s="53" t="str">
        <x:f>IF(COUNT(I20:O20)&lt;7,"",SUM(J20:M20)+I20*$B$6*N20+O20)</x:f>
      </x:c>
      <x:c r="Q20" s="53" t="str">
        <x:f>IF(OR(I20="",$B$6="",P20=""),"",I20*$B$6-P20)</x:f>
      </x:c>
      <x:c r="R20" s="54" t="str">
        <x:f>IF(OR(Q20="",I20*$B$6=0),"",Q20/(I20*$B$6))</x:f>
      </x:c>
      <x:c r="S20" s="55" t="str">
        <x:f>IF(COUNT(I20:O20)&lt;7,"待輸入成本與售價","可計算")</x:f>
        <x:v>待輸入成本與售價</x:v>
      </x:c>
    </x:row>
    <x:row r="21">
      <x:c r="A21" s="48" t="str">
        <x:v>WT-410-10-250-60</x:v>
      </x:c>
      <x:c r="B21" s="49" t="str">
        <x:v>410不鏽鋼</x:v>
      </x:c>
      <x:c r="C21" s="49" t="str">
        <x:v>#10×2-1/2</x:v>
      </x:c>
      <x:c r="D21" s="49" t="n">
        <x:v>60</x:v>
      </x:c>
      <x:c r="E21" s="49" t="str">
        <x:v>沉頭</x:v>
      </x:c>
      <x:c r="F21" s="49" t="str">
        <x:v>T25</x:v>
      </x:c>
      <x:c r="G21" s="49" t="str">
        <x:v>Type 17</x:v>
      </x:c>
      <x:c r="H21" s="49" t="str">
        <x:v>eBay</x:v>
      </x:c>
      <x:c r="I21" s="50"/>
      <x:c r="J21" s="51"/>
      <x:c r="K21" s="51"/>
      <x:c r="L21" s="51"/>
      <x:c r="M21" s="51"/>
      <x:c r="N21" s="52"/>
      <x:c r="O21" s="51"/>
      <x:c r="P21" s="53" t="str">
        <x:f>IF(COUNT(I21:O21)&lt;7,"",SUM(J21:M21)+I21*$B$6*N21+O21)</x:f>
      </x:c>
      <x:c r="Q21" s="53" t="str">
        <x:f>IF(OR(I21="",$B$6="",P21=""),"",I21*$B$6-P21)</x:f>
      </x:c>
      <x:c r="R21" s="54" t="str">
        <x:f>IF(OR(Q21="",I21*$B$6=0),"",Q21/(I21*$B$6))</x:f>
      </x:c>
      <x:c r="S21" s="55" t="str">
        <x:f>IF(COUNT(I21:O21)&lt;7,"待輸入成本與售價","可計算")</x:f>
        <x:v>待輸入成本與售價</x:v>
      </x:c>
    </x:row>
    <x:row r="22">
      <x:c r="A22" s="48" t="str">
        <x:v>WT-410-10-300-50</x:v>
      </x:c>
      <x:c r="B22" s="49" t="str">
        <x:v>410不鏽鋼</x:v>
      </x:c>
      <x:c r="C22" s="49" t="str">
        <x:v>#10×3</x:v>
      </x:c>
      <x:c r="D22" s="49" t="n">
        <x:v>50</x:v>
      </x:c>
      <x:c r="E22" s="49" t="str">
        <x:v>沉頭</x:v>
      </x:c>
      <x:c r="F22" s="49" t="str">
        <x:v>T25</x:v>
      </x:c>
      <x:c r="G22" s="49" t="str">
        <x:v>Type 17</x:v>
      </x:c>
      <x:c r="H22" s="49" t="str">
        <x:v>Amazon</x:v>
      </x:c>
      <x:c r="I22" s="50"/>
      <x:c r="J22" s="51"/>
      <x:c r="K22" s="51"/>
      <x:c r="L22" s="51"/>
      <x:c r="M22" s="51"/>
      <x:c r="N22" s="52"/>
      <x:c r="O22" s="51"/>
      <x:c r="P22" s="53" t="str">
        <x:f>IF(COUNT(I22:O22)&lt;7,"",SUM(J22:M22)+I22*$B$6*N22+O22)</x:f>
      </x:c>
      <x:c r="Q22" s="53" t="str">
        <x:f>IF(OR(I22="",$B$6="",P22=""),"",I22*$B$6-P22)</x:f>
      </x:c>
      <x:c r="R22" s="54" t="str">
        <x:f>IF(OR(Q22="",I22*$B$6=0),"",Q22/(I22*$B$6))</x:f>
      </x:c>
      <x:c r="S22" s="55" t="str">
        <x:f>IF(COUNT(I22:O22)&lt;7,"待輸入成本與售價","可計算")</x:f>
        <x:v>待輸入成本與售價</x:v>
      </x:c>
    </x:row>
    <x:row r="23">
      <x:c r="A23" s="56" t="str">
        <x:v>WT-410-10-300-50</x:v>
      </x:c>
      <x:c r="B23" s="57" t="str">
        <x:v>410不鏽鋼</x:v>
      </x:c>
      <x:c r="C23" s="57" t="str">
        <x:v>#10×3</x:v>
      </x:c>
      <x:c r="D23" s="57" t="n">
        <x:v>50</x:v>
      </x:c>
      <x:c r="E23" s="57" t="str">
        <x:v>沉頭</x:v>
      </x:c>
      <x:c r="F23" s="57" t="str">
        <x:v>T25</x:v>
      </x:c>
      <x:c r="G23" s="57" t="str">
        <x:v>Type 17</x:v>
      </x:c>
      <x:c r="H23" s="57" t="str">
        <x:v>eBay</x:v>
      </x:c>
      <x:c r="I23" s="58"/>
      <x:c r="J23" s="59"/>
      <x:c r="K23" s="59"/>
      <x:c r="L23" s="59"/>
      <x:c r="M23" s="59"/>
      <x:c r="N23" s="60"/>
      <x:c r="O23" s="59"/>
      <x:c r="P23" s="61" t="str">
        <x:f>IF(COUNT(I23:O23)&lt;7,"",SUM(J23:M23)+I23*$B$6*N23+O23)</x:f>
      </x:c>
      <x:c r="Q23" s="61" t="str">
        <x:f>IF(OR(I23="",$B$6="",P23=""),"",I23*$B$6-P23)</x:f>
      </x:c>
      <x:c r="R23" s="62" t="str">
        <x:f>IF(OR(Q23="",I23*$B$6=0),"",Q23/(I23*$B$6))</x:f>
      </x:c>
      <x:c r="S23" s="63" t="str">
        <x:f>IF(COUNT(I23:O23)&lt;7,"待輸入成本與售價","可計算")</x:f>
        <x:v>待輸入成本與售價</x:v>
      </x:c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</x:row>
  </x:sheetData>
  <x:conditionalFormatting sqref="S10:S23">
    <x:cfRule type="containsText" dxfId="0" priority="1" operator="containsText" text="待輸入"/>
    <x:cfRule type="containsText" dxfId="1" priority="2" operator="containsText" text="可計算"/>
  </x:conditionalFormatting>
  <x:dataValidations count="1">
    <x:dataValidation type="list" sqref="H10:H23">
      <x:formula1>"Amazon,eBay,Shopee"</x:formula1>
    </x:dataValidation>
  </x:dataValidations>
  <x:pageMargins left="0.7" right="0.7" top="0.75" bottom="0.75" header="0.3" footer="0.3"/>
</x:worksheet>
</file>