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f53214ace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產能與損益" sheetId="1" r:id="Rf41c63ad015a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8">
    <x:font>
      <x:sz val="11"/>
      <x:name val="Carlito"/>
    </x:font>
    <x:font>
      <x:b/>
      <x:sz val="16"/>
      <x:color rgb="FF17324D"/>
      <x:name val="Noto Sans TC"/>
    </x:font>
    <x:font>
      <x:i/>
      <x:sz val="10"/>
      <x:color rgb="FF666666"/>
      <x:name val="Noto Sans TC"/>
    </x:font>
    <x:font>
      <x:b/>
      <x:sz val="10"/>
      <x:color rgb="FF17324D"/>
      <x:name val="Noto Sans TC"/>
    </x:font>
    <x:font>
      <x:sz val="10"/>
      <x:name val="Noto Sans TC"/>
    </x:font>
    <x:font>
      <x:b/>
      <x:sz val="10"/>
      <x:color rgb="FFFFFFFF"/>
      <x:name val="Noto Sans TC"/>
    </x:font>
    <x:font>
      <x:sz val="10"/>
      <x:color rgb="FF0000FF"/>
      <x:name val="Noto Sans TC"/>
    </x:font>
    <x:font>
      <x:sz val="10"/>
      <x:color rgb="FF17324D"/>
      <x:name val="Noto Sans TC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2" xfId="0" applyNumberFormat="1" applyFont="1" applyFill="1" applyBorder="1"/>
    <x:xf numFmtId="200" fontId="4" fillId="0" borderId="5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/>
    <x:xf numFmtId="201" fontId="6" fillId="4" borderId="5" xfId="0" applyNumberFormat="1" applyFont="1" applyFill="1" applyBorder="1"/>
    <x:xf numFmtId="0" fontId="6" fillId="4" borderId="8" xfId="0" applyNumberFormat="1" applyFont="1" applyFill="1" applyBorder="1"/>
    <x:xf numFmtId="0" fontId="4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b9cae330049d6" /><Relationship Type="http://schemas.openxmlformats.org/officeDocument/2006/relationships/theme" Target="/xl/theme/theme1.xml" Id="R72b30c3936804b5c" /><Relationship Type="http://schemas.openxmlformats.org/officeDocument/2006/relationships/sharedStrings" Target="/xl/sharedStrings.xml" Id="R95106154da8b49ea" /><Relationship Type="http://schemas.openxmlformats.org/officeDocument/2006/relationships/worksheet" Target="/xl/worksheets/sheet1.xml" Id="Rf41c63ad015a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35" hidden="0" customWidth="1"/>
  </x:cols>
  <x:sheetData>
    <x:row r="2">
      <x:c r="A2" s="3" t="str">
        <x:v>包裝創業產能與損益試算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>
      <x:c r="A3" s="2" t="str">
        <x:v>已知數值已預填。黃色空白請填真實報價；必要成本未齊時，獲利維持空白。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>
      <x:c r="A5" s="34" t="str">
        <x:v>試算結果</x:v>
      </x:c>
      <x:c r="B5" s="34" t="str">
        <x:v>數值</x:v>
      </x:c>
      <x:c r="C5" s="34" t="str">
        <x:v>說明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>
      <x:c r="A6" s="35" t="str">
        <x:v>每日設計產能（桶）</x:v>
      </x:c>
      <x:c r="B6" s="36" t="n">
        <x:f>B19*60*B20</x:f>
        <x:v>1920</x:v>
      </x:c>
      <x:c r="C6" s="37" t="str">
        <x:v>未計稼動率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>
      <x:c r="A7" s="38" t="str">
        <x:v>每日有效產能（桶）</x:v>
      </x:c>
      <x:c r="B7" s="39" t="n">
        <x:f>B6*B21</x:f>
        <x:v>1344</x:v>
      </x:c>
      <x:c r="C7" s="40" t="str">
        <x:v>設計產能乘稼動率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</x:row>
    <x:row r="8">
      <x:c r="A8" s="38" t="str">
        <x:v>每月有效產能（桶）</x:v>
      </x:c>
      <x:c r="B8" s="39" t="n">
        <x:f>B7*B23</x:f>
        <x:v>29568</x:v>
      </x:c>
      <x:c r="C8" s="40" t="str">
        <x:v>每日有效產能乘工作日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</x:row>
    <x:row r="9">
      <x:c r="A9" s="38" t="str">
        <x:v>每月可接單量（桶）</x:v>
      </x:c>
      <x:c r="B9" s="39" t="n">
        <x:f>IF(B31="",B8,MIN(B8,B31))</x:f>
        <x:v>29568</x:v>
      </x:c>
      <x:c r="C9" s="40" t="str">
        <x:v>未填訂單上限時使用有效產能</x:v>
      </x:c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</x:row>
    <x:row r="10">
      <x:c r="A10" s="38" t="str">
        <x:v>每月重量（噸）</x:v>
      </x:c>
      <x:c r="B10" s="39" t="str">
        <x:f>IF(B24="","",B9*B24/1000)</x:f>
      </x:c>
      <x:c r="C10" s="40" t="str">
        <x:v>需填每桶平均重量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</x:row>
    <x:row r="11">
      <x:c r="A11" s="38" t="str">
        <x:v>每月加工收入（台幣）</x:v>
      </x:c>
      <x:c r="B11" s="39" t="n">
        <x:f>B9*B25</x:f>
        <x:v>32524.800000000003</x:v>
      </x:c>
      <x:c r="C11" s="40" t="str">
        <x:v>可接單量乘加工收入</x:v>
      </x:c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</x:row>
    <x:row r="12">
      <x:c r="A12" s="38" t="str">
        <x:v>每月總成本（台幣）</x:v>
      </x:c>
      <x:c r="B12" s="39" t="str">
        <x:f>IF(COUNT(B26:B29)&lt;4,"",B22*B26+B27+B28+B9*B29)</x:f>
      </x:c>
      <x:c r="C12" s="40" t="str">
        <x:v>人工、租金、水電與包材</x:v>
      </x:c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</x:row>
    <x:row r="13">
      <x:c r="A13" s="38" t="str">
        <x:v>每月營業利益（台幣）</x:v>
      </x:c>
      <x:c r="B13" s="39" t="str">
        <x:f>IF(B12="","",B11-B12)</x:f>
      </x:c>
      <x:c r="C13" s="40" t="str">
        <x:v>未扣所得稅及融資成本</x:v>
      </x:c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</x:row>
    <x:row r="14">
      <x:c r="A14" s="38" t="str">
        <x:v>損益兩平桶數</x:v>
      </x:c>
      <x:c r="B14" s="39" t="str">
        <x:f>IF(OR(B26="",B27="",B28="",B29="",B25&lt;=B29),"",(B22*B26+B27+B28)/(B25-B29))</x:f>
      </x:c>
      <x:c r="C14" s="40" t="str">
        <x:v>固定成本除以每桶貢獻</x:v>
      </x:c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</x:row>
    <x:row r="15">
      <x:c r="A15" s="38" t="str">
        <x:v>設備回收月數</x:v>
      </x:c>
      <x:c r="B15" s="39" t="str">
        <x:f>IF(OR(B30="",B13&lt;=0),"",B30/B13)</x:f>
      </x:c>
      <x:c r="C15" s="40" t="str">
        <x:v>設備總價除以每月營業利益</x:v>
      </x:c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</x:row>
    <x:row r="16">
      <x:c r="A16" s="41" t="str">
        <x:v>資料狀態</x:v>
      </x:c>
      <x:c r="B16" s="42" t="str">
        <x:f>IF(COUNT(B24:B31)&lt;8,"待補成本與訂單資料","可進行完整試算")</x:f>
        <x:v>待補成本與訂單資料</x:v>
      </x:c>
      <x:c r="C16" s="43" t="str">
        <x:v>空白不會被當成0</x:v>
      </x:c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</x:row>
    <x:row r="17">
      <x:c r="A17" s="44"/>
      <x:c r="B17" s="44"/>
      <x:c r="C17" s="4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</x:row>
    <x:row r="18">
      <x:c r="A18" s="45" t="str">
        <x:v>輸入項目</x:v>
      </x:c>
      <x:c r="B18" s="46" t="str">
        <x:v>輸入值</x:v>
      </x:c>
      <x:c r="C18" s="47" t="str">
        <x:v>單位／說明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</x:row>
    <x:row r="19">
      <x:c r="A19" s="38" t="str">
        <x:v>每分鐘桶數</x:v>
      </x:c>
      <x:c r="B19" s="48" t="n">
        <x:v>4</x:v>
      </x:c>
      <x:c r="C19" s="40" t="str">
        <x:v>桶／分鐘</x:v>
      </x:c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</x:row>
    <x:row r="20">
      <x:c r="A20" s="38" t="str">
        <x:v>每日工時</x:v>
      </x:c>
      <x:c r="B20" s="48" t="n">
        <x:v>8</x:v>
      </x:c>
      <x:c r="C20" s="40" t="str">
        <x:v>小時</x:v>
      </x:c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</x:row>
    <x:row r="21">
      <x:c r="A21" s="38" t="str">
        <x:v>稼動率</x:v>
      </x:c>
      <x:c r="B21" s="49" t="n">
        <x:v>0.7</x:v>
      </x:c>
      <x:c r="C21" s="40" t="str">
        <x:v>已知值70%</x:v>
      </x:c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</x:row>
    <x:row r="22">
      <x:c r="A22" s="38" t="str">
        <x:v>人數</x:v>
      </x:c>
      <x:c r="B22" s="48" t="n">
        <x:v>6</x:v>
      </x:c>
      <x:c r="C22" s="40" t="str">
        <x:v>人</x:v>
      </x:c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</x:row>
    <x:row r="23">
      <x:c r="A23" s="38" t="str">
        <x:v>每月工作日</x:v>
      </x:c>
      <x:c r="B23" s="48" t="n">
        <x:v>22</x:v>
      </x:c>
      <x:c r="C23" s="40" t="str">
        <x:v>天</x:v>
      </x:c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</x:row>
    <x:row r="24">
      <x:c r="A24" s="38" t="str">
        <x:v>每桶平均重量</x:v>
      </x:c>
      <x:c r="B24" s="48"/>
      <x:c r="C24" s="40" t="str">
        <x:v>公斤，請填實測平均</x:v>
      </x:c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</x:row>
    <x:row r="25">
      <x:c r="A25" s="38" t="str">
        <x:v>每桶加工收入</x:v>
      </x:c>
      <x:c r="B25" s="48" t="n">
        <x:v>1.1</x:v>
      </x:c>
      <x:c r="C25" s="40" t="str">
        <x:v>台幣／桶</x:v>
      </x:c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</x:row>
    <x:row r="26">
      <x:c r="A26" s="38" t="str">
        <x:v>每人每月雇主成本</x:v>
      </x:c>
      <x:c r="B26" s="48"/>
      <x:c r="C26" s="40" t="str">
        <x:v>台幣／人月</x:v>
      </x:c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</x:row>
    <x:row r="27">
      <x:c r="A27" s="38" t="str">
        <x:v>每月租金</x:v>
      </x:c>
      <x:c r="B27" s="48" t="n">
        <x:v>80000</x:v>
      </x:c>
      <x:c r="C27" s="40" t="str">
        <x:v>台幣／月</x:v>
      </x:c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</x:row>
    <x:row r="28">
      <x:c r="A28" s="38" t="str">
        <x:v>每月水電</x:v>
      </x:c>
      <x:c r="B28" s="48"/>
      <x:c r="C28" s="40" t="str">
        <x:v>台幣／月</x:v>
      </x:c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</x:row>
    <x:row r="29">
      <x:c r="A29" s="38" t="str">
        <x:v>每桶包材</x:v>
      </x:c>
      <x:c r="B29" s="48"/>
      <x:c r="C29" s="40" t="str">
        <x:v>台幣／桶</x:v>
      </x:c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</x:row>
    <x:row r="30">
      <x:c r="A30" s="38" t="str">
        <x:v>設備總價</x:v>
      </x:c>
      <x:c r="B30" s="48"/>
      <x:c r="C30" s="40" t="str">
        <x:v>台幣</x:v>
      </x:c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</x:row>
    <x:row r="31">
      <x:c r="A31" s="41" t="str">
        <x:v>每月訂單上限</x:v>
      </x:c>
      <x:c r="B31" s="50"/>
      <x:c r="C31" s="43" t="str">
        <x:v>桶；未填時以產能計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</x:row>
    <x:row r="32">
      <x:c r="A32" s="44"/>
      <x:c r="B32" s="44"/>
      <x:c r="C32" s="4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</x:row>
    <x:row r="33">
      <x:c r="A33" s="51" t="str">
        <x:v>限制</x:v>
      </x:c>
      <x:c r="B33" s="51" t="str">
        <x:v>採購、付款與聯絡供應商需另行核准</x:v>
      </x:c>
      <x:c r="C33" s="4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</x:row>
    <x:row r="34">
      <x:c r="A34" s="51" t="str">
        <x:v>資料隔離</x:v>
      </x:c>
      <x:c r="B34" s="51" t="str">
        <x:v>本表只屬包裝創業，不讀取至盈或WT資料</x:v>
      </x:c>
      <x:c r="C34" s="4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</x:row>
    <x:row r="35">
      <x:c r="A35" s="51" t="str">
        <x:v>計算原則</x:v>
      </x:c>
      <x:c r="B35" s="51" t="str">
        <x:v>必要成本空白時不顯示虛假獲利</x:v>
      </x:c>
      <x:c r="C35" s="4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</x:row>
  </x:sheetData>
  <x:conditionalFormatting sqref="B16:B16">
    <x:cfRule type="containsText" dxfId="0" priority="1" operator="containsText" text="待補"/>
    <x:cfRule type="containsText" dxfId="1" priority="2" operator="containsText" text="可進行"/>
  </x:conditionalFormatting>
  <x:dataValidations count="1">
    <x:dataValidation type="decimal" operator="greaterThanOrEqual" sqref="B19:B31">
      <x:formula1>0</x:formula1>
    </x:dataValidation>
  </x:dataValidations>
  <x:pageMargins left="0.7" right="0.7" top="0.75" bottom="0.75" header="0.3" footer="0.3"/>
</x:worksheet>
</file>